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ources &amp; Uses" sheetId="2" state="visible" r:id="rId2"/>
    <sheet name="Debt Schedule" sheetId="3" state="visible" r:id="rId3"/>
    <sheet name="Income Statement" sheetId="4" state="visible" r:id="rId4"/>
    <sheet name="Cash Flow" sheetId="5" state="visible" r:id="rId5"/>
    <sheet name="Balance Sheet" sheetId="6" state="visible" r:id="rId6"/>
    <sheet name="Returns" sheetId="7" state="visible" r:id="rId7"/>
    <sheet name="Investment Mem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13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b val="1"/>
      <color rgb="001F3864"/>
      <sz val="10"/>
    </font>
    <font/>
    <font>
      <color rgb="000000FF"/>
    </font>
    <font>
      <color rgb="00000000"/>
    </font>
    <font>
      <color rgb="00008000"/>
    </font>
    <font>
      <b val="1"/>
    </font>
    <font>
      <b val="1"/>
      <color rgb="00000000"/>
    </font>
    <font>
      <b val="1"/>
      <color rgb="00FFFFFF"/>
      <sz val="11"/>
    </font>
    <font>
      <i val="1"/>
    </font>
    <font>
      <b val="1"/>
      <color rgb="00008000"/>
    </font>
  </fonts>
  <fills count="4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  <bottom style="double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indent="1"/>
    </xf>
    <xf numFmtId="164" fontId="5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" fontId="5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164" fontId="9" fillId="0" borderId="1" pivotButton="0" quotePrefix="0" xfId="0"/>
    <xf numFmtId="164" fontId="6" fillId="0" borderId="0" pivotButton="0" quotePrefix="0" xfId="0"/>
    <xf numFmtId="164" fontId="9" fillId="2" borderId="0" pivotButton="0" quotePrefix="0" xfId="0"/>
    <xf numFmtId="0" fontId="10" fillId="3" borderId="0" applyAlignment="1" pivotButton="0" quotePrefix="0" xfId="0">
      <alignment horizontal="center"/>
    </xf>
    <xf numFmtId="0" fontId="8" fillId="0" borderId="0" applyAlignment="1" pivotButton="0" quotePrefix="0" xfId="0">
      <alignment indent="1"/>
    </xf>
    <xf numFmtId="164" fontId="9" fillId="0" borderId="0" pivotButton="0" quotePrefix="0" xfId="0"/>
    <xf numFmtId="0" fontId="11" fillId="0" borderId="0" applyAlignment="1" pivotButton="0" quotePrefix="0" xfId="0">
      <alignment indent="1"/>
    </xf>
    <xf numFmtId="164" fontId="12" fillId="0" borderId="0" pivotButton="0" quotePrefix="0" xfId="0"/>
    <xf numFmtId="166" fontId="7" fillId="0" borderId="0" pivotButton="0" quotePrefix="0" xfId="0"/>
    <xf numFmtId="166" fontId="9" fillId="0" borderId="0" pivotButton="0" quotePrefix="0" xfId="0"/>
    <xf numFmtId="165" fontId="12" fillId="0" borderId="0" pivotButton="0" quotePrefix="0" xfId="0"/>
    <xf numFmtId="0" fontId="11" fillId="0" borderId="0" pivotButton="0" quotePrefix="0" xfId="0"/>
    <xf numFmtId="166" fontId="10" fillId="3" borderId="0" pivotButton="0" quotePrefix="0" xfId="0"/>
    <xf numFmtId="166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Example Industrial Services Co. (illustrative sample — not a real filer) (DEMO) — LBO Assumptions</t>
        </is>
      </c>
    </row>
    <row r="2">
      <c r="A2" s="2" t="inlineStr">
        <is>
          <t>CIK 0000000000 · SEC EDGAR. Blue cells are inputs — change them and the whole model recalculates.</t>
        </is>
      </c>
    </row>
    <row r="4">
      <c r="A4" s="3" t="inlineStr">
        <is>
          <t>LTM financials (from SEC 10-K filings)</t>
        </is>
      </c>
    </row>
    <row r="5">
      <c r="A5" s="4" t="inlineStr">
        <is>
          <t>LTM revenue</t>
        </is>
      </c>
      <c r="B5" s="5" t="n">
        <v>180500000</v>
      </c>
    </row>
    <row r="6">
      <c r="A6" s="4" t="inlineStr">
        <is>
          <t>LTM EBITDA</t>
        </is>
      </c>
      <c r="B6" s="5" t="n">
        <v>32400000</v>
      </c>
    </row>
    <row r="7">
      <c r="A7" s="4" t="inlineStr">
        <is>
          <t>EBITDA margin</t>
        </is>
      </c>
      <c r="B7" s="6">
        <f>B6/B5</f>
        <v/>
      </c>
    </row>
    <row r="8">
      <c r="A8" s="4" t="inlineStr">
        <is>
          <t>Opening PP&amp;E, net</t>
        </is>
      </c>
      <c r="B8" s="5" t="n">
        <v>0</v>
      </c>
    </row>
    <row r="9">
      <c r="A9" s="4" t="inlineStr">
        <is>
          <t>Opening non-cash NWC</t>
        </is>
      </c>
      <c r="B9" s="5" t="n">
        <v>0</v>
      </c>
    </row>
    <row r="10">
      <c r="A10" s="4" t="inlineStr">
        <is>
          <t>Opening cash at close</t>
        </is>
      </c>
      <c r="B10" s="5" t="n">
        <v>0</v>
      </c>
    </row>
    <row r="11">
      <c r="A11" s="3" t="inlineStr">
        <is>
          <t>Deal assumptions</t>
        </is>
      </c>
    </row>
    <row r="12">
      <c r="A12" s="4" t="inlineStr">
        <is>
          <t>Entry EV / EBITDA</t>
        </is>
      </c>
      <c r="B12" s="7" t="n">
        <v>7</v>
      </c>
    </row>
    <row r="13">
      <c r="A13" s="4" t="inlineStr">
        <is>
          <t>Exit EV / EBITDA</t>
        </is>
      </c>
      <c r="B13" s="7" t="n">
        <v>7</v>
      </c>
    </row>
    <row r="14">
      <c r="A14" s="4" t="inlineStr">
        <is>
          <t>Total leverage (x EBITDA)</t>
        </is>
      </c>
      <c r="B14" s="7" t="n">
        <v>4.5</v>
      </c>
    </row>
    <row r="15">
      <c r="A15" s="4" t="inlineStr">
        <is>
          <t>Hold period (years)</t>
        </is>
      </c>
      <c r="B15" s="8" t="n">
        <v>5</v>
      </c>
    </row>
    <row r="16">
      <c r="A16" s="4" t="inlineStr">
        <is>
          <t>Revenue growth (annual)</t>
        </is>
      </c>
      <c r="B16" s="9" t="n">
        <v>0.04</v>
      </c>
    </row>
    <row r="17">
      <c r="A17" s="4" t="inlineStr">
        <is>
          <t>D&amp;A (% of revenue)</t>
        </is>
      </c>
      <c r="B17" s="9" t="n">
        <v>0.03</v>
      </c>
    </row>
    <row r="18">
      <c r="A18" s="4" t="inlineStr">
        <is>
          <t>Capex (% of revenue)</t>
        </is>
      </c>
      <c r="B18" s="9" t="n">
        <v>0.03</v>
      </c>
    </row>
    <row r="19">
      <c r="A19" s="4" t="inlineStr">
        <is>
          <t>NWC (% of revenue change)</t>
        </is>
      </c>
      <c r="B19" s="9" t="n">
        <v>0.15</v>
      </c>
    </row>
    <row r="20">
      <c r="A20" s="4" t="inlineStr">
        <is>
          <t>Cash tax rate</t>
        </is>
      </c>
      <c r="B20" s="9" t="n">
        <v>0.26</v>
      </c>
    </row>
    <row r="21">
      <c r="A21" s="4" t="inlineStr">
        <is>
          <t>Transaction fees (% of EV)</t>
        </is>
      </c>
      <c r="B21" s="9" t="n">
        <v>0.02</v>
      </c>
    </row>
    <row r="22">
      <c r="A22" s="4" t="inlineStr">
        <is>
          <t>Financing fees (% of debt)</t>
        </is>
      </c>
      <c r="B22" s="9" t="n">
        <v>0.02</v>
      </c>
    </row>
    <row r="23">
      <c r="A23" s="4" t="inlineStr">
        <is>
          <t>Cash sweep (% of FCF)</t>
        </is>
      </c>
      <c r="B23" s="9" t="n">
        <v>0.8</v>
      </c>
    </row>
    <row r="24">
      <c r="A24" s="4" t="inlineStr">
        <is>
          <t>Management rollover (% of equity)</t>
        </is>
      </c>
      <c r="B24" s="9" t="n">
        <v>0.1</v>
      </c>
    </row>
    <row r="26">
      <c r="A26" s="3" t="inlineStr">
        <is>
          <t>Debt structure</t>
        </is>
      </c>
    </row>
    <row r="27">
      <c r="A27" s="4" t="inlineStr">
        <is>
          <t>Senior Term Loan B (% of debt)</t>
        </is>
      </c>
      <c r="B27" s="9" t="n">
        <v>0.7</v>
      </c>
    </row>
    <row r="28">
      <c r="A28" s="4" t="inlineStr">
        <is>
          <t>Senior Term Loan B interest rate</t>
        </is>
      </c>
      <c r="B28" s="10" t="n">
        <v>0.08500000000000001</v>
      </c>
    </row>
    <row r="29">
      <c r="A29" s="4" t="inlineStr">
        <is>
          <t>Mandatory amortisation (% of principal p.a.)</t>
        </is>
      </c>
      <c r="B29" s="10" t="n">
        <v>0.01</v>
      </c>
    </row>
    <row r="30">
      <c r="A30" s="4" t="inlineStr">
        <is>
          <t>Subordinated Notes interest rate</t>
        </is>
      </c>
      <c r="B30" s="10" t="n">
        <v>0.115</v>
      </c>
    </row>
    <row r="32">
      <c r="A32" s="2" t="inlineStr">
        <is>
          <t>Colour convention: blue = hardcoded input · black = formula on this sheet · green = links to another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Sources &amp; Uses</t>
        </is>
      </c>
    </row>
    <row r="2">
      <c r="A2" s="2" t="inlineStr">
        <is>
          <t>Every figure is a formula. Sponsor equity is the plug.</t>
        </is>
      </c>
    </row>
    <row r="4">
      <c r="A4" s="3" t="inlineStr">
        <is>
          <t>Uses</t>
        </is>
      </c>
    </row>
    <row r="5">
      <c r="A5" s="4" t="inlineStr">
        <is>
          <t>Purchase enterprise value</t>
        </is>
      </c>
      <c r="B5" s="11">
        <f>Assumptions!$B$12*Assumptions!$B$6</f>
        <v/>
      </c>
    </row>
    <row r="6">
      <c r="A6" s="4" t="inlineStr">
        <is>
          <t>Transaction fees</t>
        </is>
      </c>
      <c r="B6" s="11">
        <f>Assumptions!$B$21*B5</f>
        <v/>
      </c>
    </row>
    <row r="7">
      <c r="A7" s="4" t="inlineStr">
        <is>
          <t>Financing fees</t>
        </is>
      </c>
      <c r="B7" s="11">
        <f>Assumptions!$B$22*B11</f>
        <v/>
      </c>
    </row>
    <row r="8">
      <c r="A8" s="12" t="inlineStr">
        <is>
          <t>Total uses</t>
        </is>
      </c>
      <c r="B8" s="13">
        <f>SUM(B5:B7)</f>
        <v/>
      </c>
    </row>
    <row r="10">
      <c r="A10" s="3" t="inlineStr">
        <is>
          <t>Sources</t>
        </is>
      </c>
    </row>
    <row r="11">
      <c r="A11" s="4" t="inlineStr">
        <is>
          <t>New debt</t>
        </is>
      </c>
      <c r="B11" s="11">
        <f>Assumptions!$B$14*Assumptions!$B$6</f>
        <v/>
      </c>
    </row>
    <row r="12">
      <c r="A12" s="4" t="inlineStr">
        <is>
          <t>Management rollover</t>
        </is>
      </c>
      <c r="B12" s="11">
        <f>Assumptions!$B$24*B5</f>
        <v/>
      </c>
    </row>
    <row r="13">
      <c r="A13" s="4" t="inlineStr">
        <is>
          <t>Sponsor equity (plug)</t>
        </is>
      </c>
      <c r="B13" s="14">
        <f>B8-B11-B12</f>
        <v/>
      </c>
    </row>
    <row r="14">
      <c r="A14" s="12" t="inlineStr">
        <is>
          <t>Total sources</t>
        </is>
      </c>
      <c r="B14" s="13">
        <f>SUM(B11:B13)</f>
        <v/>
      </c>
    </row>
    <row r="16">
      <c r="A16" s="12" t="inlineStr">
        <is>
          <t>Check: sources − uses</t>
        </is>
      </c>
      <c r="B16" s="15">
        <f>B14-B8</f>
        <v/>
      </c>
    </row>
    <row r="17">
      <c r="A17" s="4" t="inlineStr">
        <is>
          <t>Equity as % of total uses</t>
        </is>
      </c>
      <c r="B17" s="6">
        <f>B13/B8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Debt Schedule</t>
        </is>
      </c>
    </row>
    <row r="2">
      <c r="A2" s="2" t="inlineStr">
        <is>
          <t>Mandatory amortisation first, then the sweep, senior before subordinated.</t>
        </is>
      </c>
    </row>
    <row r="4">
      <c r="B4" s="16" t="inlineStr">
        <is>
          <t>At close</t>
        </is>
      </c>
      <c r="C4" s="16" t="inlineStr">
        <is>
          <t>Year 1</t>
        </is>
      </c>
      <c r="D4" s="16" t="inlineStr">
        <is>
          <t>Year 2</t>
        </is>
      </c>
      <c r="E4" s="16" t="inlineStr">
        <is>
          <t>Year 3</t>
        </is>
      </c>
      <c r="F4" s="16" t="inlineStr">
        <is>
          <t>Year 4</t>
        </is>
      </c>
      <c r="G4" s="16" t="inlineStr">
        <is>
          <t>Year 5</t>
        </is>
      </c>
    </row>
    <row r="5">
      <c r="A5" s="3" t="inlineStr">
        <is>
          <t>Senior Term Loan</t>
        </is>
      </c>
    </row>
    <row r="6">
      <c r="A6" s="4" t="inlineStr">
        <is>
          <t>Beginning balance</t>
        </is>
      </c>
      <c r="B6" s="11">
        <f>'Sources &amp; Uses'!$B$11*Assumptions!$B$27</f>
        <v/>
      </c>
      <c r="C6" s="14">
        <f>B6</f>
        <v/>
      </c>
      <c r="D6" s="14">
        <f>C10</f>
        <v/>
      </c>
      <c r="E6" s="14">
        <f>D10</f>
        <v/>
      </c>
      <c r="F6" s="14">
        <f>E10</f>
        <v/>
      </c>
      <c r="G6" s="14">
        <f>F10</f>
        <v/>
      </c>
    </row>
    <row r="7">
      <c r="A7" s="4" t="inlineStr">
        <is>
          <t>Interest expense</t>
        </is>
      </c>
      <c r="C7" s="11">
        <f>C6*Assumptions!$B$28</f>
        <v/>
      </c>
      <c r="D7" s="11">
        <f>D6*Assumptions!$B$28</f>
        <v/>
      </c>
      <c r="E7" s="11">
        <f>E6*Assumptions!$B$28</f>
        <v/>
      </c>
      <c r="F7" s="11">
        <f>F6*Assumptions!$B$28</f>
        <v/>
      </c>
      <c r="G7" s="11">
        <f>G6*Assumptions!$B$28</f>
        <v/>
      </c>
    </row>
    <row r="8">
      <c r="A8" s="4" t="inlineStr">
        <is>
          <t>Mandatory amortisation</t>
        </is>
      </c>
      <c r="C8" s="11">
        <f>MIN(Assumptions!$B$29*$B$6,C6)</f>
        <v/>
      </c>
      <c r="D8" s="11">
        <f>MIN(Assumptions!$B$29*$B$6,D6)</f>
        <v/>
      </c>
      <c r="E8" s="11">
        <f>MIN(Assumptions!$B$29*$B$6,E6)</f>
        <v/>
      </c>
      <c r="F8" s="11">
        <f>MIN(Assumptions!$B$29*$B$6,F6)</f>
        <v/>
      </c>
      <c r="G8" s="11">
        <f>MIN(Assumptions!$B$29*$B$6,G6)</f>
        <v/>
      </c>
    </row>
    <row r="9">
      <c r="A9" s="4" t="inlineStr">
        <is>
          <t>Cash sweep</t>
        </is>
      </c>
      <c r="C9" s="14">
        <f>MIN(C19,C6-C8)</f>
        <v/>
      </c>
      <c r="D9" s="14">
        <f>MIN(D19,D6-D8)</f>
        <v/>
      </c>
      <c r="E9" s="14">
        <f>MIN(E19,E6-E8)</f>
        <v/>
      </c>
      <c r="F9" s="14">
        <f>MIN(F19,F6-F8)</f>
        <v/>
      </c>
      <c r="G9" s="14">
        <f>MIN(G19,G6-G8)</f>
        <v/>
      </c>
    </row>
    <row r="10">
      <c r="A10" s="17" t="inlineStr">
        <is>
          <t>Ending balance</t>
        </is>
      </c>
      <c r="C10" s="18">
        <f>C6-C8-C9</f>
        <v/>
      </c>
      <c r="D10" s="18">
        <f>D6-D8-D9</f>
        <v/>
      </c>
      <c r="E10" s="18">
        <f>E6-E8-E9</f>
        <v/>
      </c>
      <c r="F10" s="18">
        <f>F6-F8-F9</f>
        <v/>
      </c>
      <c r="G10" s="18">
        <f>G6-G8-G9</f>
        <v/>
      </c>
    </row>
    <row r="11">
      <c r="A11" s="3" t="inlineStr">
        <is>
          <t>Subordinated Notes</t>
        </is>
      </c>
    </row>
    <row r="12">
      <c r="A12" s="4" t="inlineStr">
        <is>
          <t>Beginning balance</t>
        </is>
      </c>
      <c r="B12" s="11">
        <f>'Sources &amp; Uses'!$B$11*(1-Assumptions!$B$27)</f>
        <v/>
      </c>
      <c r="C12" s="14">
        <f>B12</f>
        <v/>
      </c>
      <c r="D12" s="14">
        <f>C15</f>
        <v/>
      </c>
      <c r="E12" s="14">
        <f>D15</f>
        <v/>
      </c>
      <c r="F12" s="14">
        <f>E15</f>
        <v/>
      </c>
      <c r="G12" s="14">
        <f>F15</f>
        <v/>
      </c>
    </row>
    <row r="13">
      <c r="A13" s="4" t="inlineStr">
        <is>
          <t>Interest expense</t>
        </is>
      </c>
      <c r="C13" s="11">
        <f>C12*Assumptions!$B$30</f>
        <v/>
      </c>
      <c r="D13" s="11">
        <f>D12*Assumptions!$B$30</f>
        <v/>
      </c>
      <c r="E13" s="11">
        <f>E12*Assumptions!$B$30</f>
        <v/>
      </c>
      <c r="F13" s="11">
        <f>F12*Assumptions!$B$30</f>
        <v/>
      </c>
      <c r="G13" s="11">
        <f>G12*Assumptions!$B$30</f>
        <v/>
      </c>
    </row>
    <row r="14">
      <c r="A14" s="4" t="inlineStr">
        <is>
          <t>Cash sweep</t>
        </is>
      </c>
      <c r="C14" s="14">
        <f>MIN(C19-C9,C12)</f>
        <v/>
      </c>
      <c r="D14" s="14">
        <f>MIN(D19-D9,D12)</f>
        <v/>
      </c>
      <c r="E14" s="14">
        <f>MIN(E19-E9,E12)</f>
        <v/>
      </c>
      <c r="F14" s="14">
        <f>MIN(F19-F9,F12)</f>
        <v/>
      </c>
      <c r="G14" s="14">
        <f>MIN(G19-G9,G12)</f>
        <v/>
      </c>
    </row>
    <row r="15">
      <c r="A15" s="17" t="inlineStr">
        <is>
          <t>Ending balance</t>
        </is>
      </c>
      <c r="C15" s="18">
        <f>C12-C14</f>
        <v/>
      </c>
      <c r="D15" s="18">
        <f>D12-D14</f>
        <v/>
      </c>
      <c r="E15" s="18">
        <f>E12-E14</f>
        <v/>
      </c>
      <c r="F15" s="18">
        <f>F12-F14</f>
        <v/>
      </c>
      <c r="G15" s="18">
        <f>G12-G14</f>
        <v/>
      </c>
    </row>
    <row r="16">
      <c r="A16" s="3" t="inlineStr">
        <is>
          <t>Total</t>
        </is>
      </c>
    </row>
    <row r="17">
      <c r="A17" s="4" t="inlineStr">
        <is>
          <t>Total interest expense</t>
        </is>
      </c>
      <c r="C17" s="14">
        <f>C7+C13</f>
        <v/>
      </c>
      <c r="D17" s="14">
        <f>D7+D13</f>
        <v/>
      </c>
      <c r="E17" s="14">
        <f>E7+E13</f>
        <v/>
      </c>
      <c r="F17" s="14">
        <f>F7+F13</f>
        <v/>
      </c>
      <c r="G17" s="14">
        <f>G7+G13</f>
        <v/>
      </c>
    </row>
    <row r="18">
      <c r="A18" s="4" t="inlineStr">
        <is>
          <t>Total mandatory amortisation</t>
        </is>
      </c>
      <c r="C18" s="14">
        <f>C8</f>
        <v/>
      </c>
      <c r="D18" s="14">
        <f>D8</f>
        <v/>
      </c>
      <c r="E18" s="14">
        <f>E8</f>
        <v/>
      </c>
      <c r="F18" s="14">
        <f>F8</f>
        <v/>
      </c>
      <c r="G18" s="14">
        <f>G8</f>
        <v/>
      </c>
    </row>
    <row r="19">
      <c r="A19" s="19" t="inlineStr">
        <is>
          <t>Cash available for sweep</t>
        </is>
      </c>
      <c r="C19" s="11">
        <f>MAX(0,'Cash Flow'!C10-C18)*Assumptions!$B$23</f>
        <v/>
      </c>
      <c r="D19" s="11">
        <f>MAX(0,'Cash Flow'!D10-D18)*Assumptions!$B$23</f>
        <v/>
      </c>
      <c r="E19" s="11">
        <f>MAX(0,'Cash Flow'!E10-E18)*Assumptions!$B$23</f>
        <v/>
      </c>
      <c r="F19" s="11">
        <f>MAX(0,'Cash Flow'!F10-F18)*Assumptions!$B$23</f>
        <v/>
      </c>
      <c r="G19" s="11">
        <f>MAX(0,'Cash Flow'!G10-G18)*Assumptions!$B$23</f>
        <v/>
      </c>
    </row>
    <row r="20">
      <c r="A20" s="4" t="inlineStr">
        <is>
          <t>Total swept to debt</t>
        </is>
      </c>
      <c r="C20" s="14">
        <f>C9+C14</f>
        <v/>
      </c>
      <c r="D20" s="14">
        <f>D9+D14</f>
        <v/>
      </c>
      <c r="E20" s="14">
        <f>E9+E14</f>
        <v/>
      </c>
      <c r="F20" s="14">
        <f>F9+F14</f>
        <v/>
      </c>
      <c r="G20" s="14">
        <f>G9+G14</f>
        <v/>
      </c>
    </row>
    <row r="21">
      <c r="A21" s="17" t="inlineStr">
        <is>
          <t>Total debt outstanding</t>
        </is>
      </c>
      <c r="B21" s="18">
        <f>B6+B12</f>
        <v/>
      </c>
      <c r="C21" s="18">
        <f>C10+C15</f>
        <v/>
      </c>
      <c r="D21" s="18">
        <f>D10+D15</f>
        <v/>
      </c>
      <c r="E21" s="18">
        <f>E10+E15</f>
        <v/>
      </c>
      <c r="F21" s="18">
        <f>F10+F15</f>
        <v/>
      </c>
      <c r="G21" s="18">
        <f>G10+G15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Income Statement</t>
        </is>
      </c>
    </row>
    <row r="2">
      <c r="A2" s="2" t="inlineStr">
        <is>
          <t>Margin is held at the entry margin; D&amp;A is a percentage of revenue.</t>
        </is>
      </c>
    </row>
    <row r="4">
      <c r="B4" s="16" t="inlineStr">
        <is>
          <t>LTM</t>
        </is>
      </c>
      <c r="C4" s="16" t="inlineStr">
        <is>
          <t>Year 1</t>
        </is>
      </c>
      <c r="D4" s="16" t="inlineStr">
        <is>
          <t>Year 2</t>
        </is>
      </c>
      <c r="E4" s="16" t="inlineStr">
        <is>
          <t>Year 3</t>
        </is>
      </c>
      <c r="F4" s="16" t="inlineStr">
        <is>
          <t>Year 4</t>
        </is>
      </c>
      <c r="G4" s="16" t="inlineStr">
        <is>
          <t>Year 5</t>
        </is>
      </c>
    </row>
    <row r="6">
      <c r="A6" s="4" t="inlineStr">
        <is>
          <t>Revenue</t>
        </is>
      </c>
      <c r="B6" s="11">
        <f>Assumptions!$B$5</f>
        <v/>
      </c>
      <c r="C6" s="11">
        <f>B6*(1+Assumptions!$B$16)</f>
        <v/>
      </c>
      <c r="D6" s="11">
        <f>C6*(1+Assumptions!$B$16)</f>
        <v/>
      </c>
      <c r="E6" s="11">
        <f>D6*(1+Assumptions!$B$16)</f>
        <v/>
      </c>
      <c r="F6" s="11">
        <f>E6*(1+Assumptions!$B$16)</f>
        <v/>
      </c>
      <c r="G6" s="11">
        <f>F6*(1+Assumptions!$B$16)</f>
        <v/>
      </c>
    </row>
    <row r="7">
      <c r="A7" s="12" t="inlineStr">
        <is>
          <t>EBITDA</t>
        </is>
      </c>
      <c r="B7" s="11">
        <f>Assumptions!$B$6</f>
        <v/>
      </c>
      <c r="C7" s="20">
        <f>C6*Assumptions!$B$7</f>
        <v/>
      </c>
      <c r="D7" s="20">
        <f>D6*Assumptions!$B$7</f>
        <v/>
      </c>
      <c r="E7" s="20">
        <f>E6*Assumptions!$B$7</f>
        <v/>
      </c>
      <c r="F7" s="20">
        <f>F6*Assumptions!$B$7</f>
        <v/>
      </c>
      <c r="G7" s="20">
        <f>G6*Assumptions!$B$7</f>
        <v/>
      </c>
    </row>
    <row r="8">
      <c r="A8" s="4" t="inlineStr">
        <is>
          <t>EBITDA margin</t>
        </is>
      </c>
      <c r="B8" s="6">
        <f>B7/B6</f>
        <v/>
      </c>
      <c r="C8" s="6">
        <f>C7/C6</f>
        <v/>
      </c>
      <c r="D8" s="6">
        <f>D7/D6</f>
        <v/>
      </c>
      <c r="E8" s="6">
        <f>E7/E6</f>
        <v/>
      </c>
      <c r="F8" s="6">
        <f>F7/F6</f>
        <v/>
      </c>
      <c r="G8" s="6">
        <f>G7/G6</f>
        <v/>
      </c>
    </row>
    <row r="9">
      <c r="A9" s="4" t="inlineStr">
        <is>
          <t>Less: D&amp;A</t>
        </is>
      </c>
      <c r="C9" s="11">
        <f>C6*Assumptions!$B$17</f>
        <v/>
      </c>
      <c r="D9" s="11">
        <f>D6*Assumptions!$B$17</f>
        <v/>
      </c>
      <c r="E9" s="11">
        <f>E6*Assumptions!$B$17</f>
        <v/>
      </c>
      <c r="F9" s="11">
        <f>F6*Assumptions!$B$17</f>
        <v/>
      </c>
      <c r="G9" s="11">
        <f>G6*Assumptions!$B$17</f>
        <v/>
      </c>
    </row>
    <row r="10">
      <c r="A10" s="12" t="inlineStr">
        <is>
          <t>EBIT</t>
        </is>
      </c>
      <c r="C10" s="18">
        <f>C7-C9</f>
        <v/>
      </c>
      <c r="D10" s="18">
        <f>D7-D9</f>
        <v/>
      </c>
      <c r="E10" s="18">
        <f>E7-E9</f>
        <v/>
      </c>
      <c r="F10" s="18">
        <f>F7-F9</f>
        <v/>
      </c>
      <c r="G10" s="18">
        <f>G7-G9</f>
        <v/>
      </c>
    </row>
    <row r="11">
      <c r="A11" s="4" t="inlineStr">
        <is>
          <t>Less: interest expense</t>
        </is>
      </c>
      <c r="C11" s="11">
        <f>'Debt Schedule'!C17</f>
        <v/>
      </c>
      <c r="D11" s="11">
        <f>'Debt Schedule'!D17</f>
        <v/>
      </c>
      <c r="E11" s="11">
        <f>'Debt Schedule'!E17</f>
        <v/>
      </c>
      <c r="F11" s="11">
        <f>'Debt Schedule'!F17</f>
        <v/>
      </c>
      <c r="G11" s="11">
        <f>'Debt Schedule'!G17</f>
        <v/>
      </c>
    </row>
    <row r="12">
      <c r="A12" s="12" t="inlineStr">
        <is>
          <t>Pre-tax income</t>
        </is>
      </c>
      <c r="C12" s="18">
        <f>C10-C11</f>
        <v/>
      </c>
      <c r="D12" s="18">
        <f>D10-D11</f>
        <v/>
      </c>
      <c r="E12" s="18">
        <f>E10-E11</f>
        <v/>
      </c>
      <c r="F12" s="18">
        <f>F10-F11</f>
        <v/>
      </c>
      <c r="G12" s="18">
        <f>G10-G11</f>
        <v/>
      </c>
    </row>
    <row r="13">
      <c r="A13" s="4" t="inlineStr">
        <is>
          <t>Less: cash taxes</t>
        </is>
      </c>
      <c r="C13" s="11">
        <f>MAX(0,C12*Assumptions!$B$20)</f>
        <v/>
      </c>
      <c r="D13" s="11">
        <f>MAX(0,D12*Assumptions!$B$20)</f>
        <v/>
      </c>
      <c r="E13" s="11">
        <f>MAX(0,E12*Assumptions!$B$20)</f>
        <v/>
      </c>
      <c r="F13" s="11">
        <f>MAX(0,F12*Assumptions!$B$20)</f>
        <v/>
      </c>
      <c r="G13" s="11">
        <f>MAX(0,G12*Assumptions!$B$20)</f>
        <v/>
      </c>
    </row>
    <row r="14">
      <c r="A14" s="12" t="inlineStr">
        <is>
          <t>Net income</t>
        </is>
      </c>
      <c r="C14" s="18">
        <f>C12-C13</f>
        <v/>
      </c>
      <c r="D14" s="18">
        <f>D12-D13</f>
        <v/>
      </c>
      <c r="E14" s="18">
        <f>E12-E13</f>
        <v/>
      </c>
      <c r="F14" s="18">
        <f>F12-F13</f>
        <v/>
      </c>
      <c r="G14" s="18">
        <f>G12-G13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Cash Flow Statement</t>
        </is>
      </c>
    </row>
    <row r="2">
      <c r="A2" s="2" t="inlineStr">
        <is>
          <t>Free cash flow before debt service feeds the sweep on the Debt Schedule.</t>
        </is>
      </c>
    </row>
    <row r="4">
      <c r="C4" s="16" t="inlineStr">
        <is>
          <t>Year 1</t>
        </is>
      </c>
      <c r="D4" s="16" t="inlineStr">
        <is>
          <t>Year 2</t>
        </is>
      </c>
      <c r="E4" s="16" t="inlineStr">
        <is>
          <t>Year 3</t>
        </is>
      </c>
      <c r="F4" s="16" t="inlineStr">
        <is>
          <t>Year 4</t>
        </is>
      </c>
      <c r="G4" s="16" t="inlineStr">
        <is>
          <t>Year 5</t>
        </is>
      </c>
    </row>
    <row r="6">
      <c r="A6" s="4" t="inlineStr">
        <is>
          <t>Net income</t>
        </is>
      </c>
      <c r="C6" s="11">
        <f>'Income Statement'!C14</f>
        <v/>
      </c>
      <c r="D6" s="11">
        <f>'Income Statement'!D14</f>
        <v/>
      </c>
      <c r="E6" s="11">
        <f>'Income Statement'!E14</f>
        <v/>
      </c>
      <c r="F6" s="11">
        <f>'Income Statement'!F14</f>
        <v/>
      </c>
      <c r="G6" s="11">
        <f>'Income Statement'!G14</f>
        <v/>
      </c>
    </row>
    <row r="7">
      <c r="A7" s="4" t="inlineStr">
        <is>
          <t>Add: D&amp;A (non-cash)</t>
        </is>
      </c>
      <c r="C7" s="11">
        <f>'Income Statement'!C9</f>
        <v/>
      </c>
      <c r="D7" s="11">
        <f>'Income Statement'!D9</f>
        <v/>
      </c>
      <c r="E7" s="11">
        <f>'Income Statement'!E9</f>
        <v/>
      </c>
      <c r="F7" s="11">
        <f>'Income Statement'!F9</f>
        <v/>
      </c>
      <c r="G7" s="11">
        <f>'Income Statement'!G9</f>
        <v/>
      </c>
    </row>
    <row r="8">
      <c r="A8" s="4" t="inlineStr">
        <is>
          <t>Less: capital expenditure</t>
        </is>
      </c>
      <c r="C8" s="11">
        <f>'Income Statement'!C6*Assumptions!$B$18</f>
        <v/>
      </c>
      <c r="D8" s="11">
        <f>'Income Statement'!D6*Assumptions!$B$18</f>
        <v/>
      </c>
      <c r="E8" s="11">
        <f>'Income Statement'!E6*Assumptions!$B$18</f>
        <v/>
      </c>
      <c r="F8" s="11">
        <f>'Income Statement'!F6*Assumptions!$B$18</f>
        <v/>
      </c>
      <c r="G8" s="11">
        <f>'Income Statement'!G6*Assumptions!$B$18</f>
        <v/>
      </c>
    </row>
    <row r="9">
      <c r="A9" s="4" t="inlineStr">
        <is>
          <t>Less: increase in NWC</t>
        </is>
      </c>
      <c r="C9" s="11">
        <f>('Income Statement'!C6-'Income Statement'!B6)*Assumptions!$B$19</f>
        <v/>
      </c>
      <c r="D9" s="11">
        <f>('Income Statement'!D6-'Income Statement'!C6)*Assumptions!$B$19</f>
        <v/>
      </c>
      <c r="E9" s="11">
        <f>('Income Statement'!E6-'Income Statement'!D6)*Assumptions!$B$19</f>
        <v/>
      </c>
      <c r="F9" s="11">
        <f>('Income Statement'!F6-'Income Statement'!E6)*Assumptions!$B$19</f>
        <v/>
      </c>
      <c r="G9" s="11">
        <f>('Income Statement'!G6-'Income Statement'!F6)*Assumptions!$B$19</f>
        <v/>
      </c>
    </row>
    <row r="10">
      <c r="A10" s="12" t="inlineStr">
        <is>
          <t>Free cash flow before debt service</t>
        </is>
      </c>
      <c r="C10" s="18">
        <f>C6+C7-C8-C9</f>
        <v/>
      </c>
      <c r="D10" s="18">
        <f>D6+D7-D8-D9</f>
        <v/>
      </c>
      <c r="E10" s="18">
        <f>E6+E7-E8-E9</f>
        <v/>
      </c>
      <c r="F10" s="18">
        <f>F6+F7-F8-F9</f>
        <v/>
      </c>
      <c r="G10" s="18">
        <f>G6+G7-G8-G9</f>
        <v/>
      </c>
    </row>
    <row r="12">
      <c r="A12" s="4" t="inlineStr">
        <is>
          <t>Less: mandatory amortisation</t>
        </is>
      </c>
      <c r="C12" s="11">
        <f>'Debt Schedule'!C18</f>
        <v/>
      </c>
      <c r="D12" s="11">
        <f>'Debt Schedule'!D18</f>
        <v/>
      </c>
      <c r="E12" s="11">
        <f>'Debt Schedule'!E18</f>
        <v/>
      </c>
      <c r="F12" s="11">
        <f>'Debt Schedule'!F18</f>
        <v/>
      </c>
      <c r="G12" s="11">
        <f>'Debt Schedule'!G18</f>
        <v/>
      </c>
    </row>
    <row r="13">
      <c r="A13" s="4" t="inlineStr">
        <is>
          <t>Less: cash sweep</t>
        </is>
      </c>
      <c r="C13" s="11">
        <f>'Debt Schedule'!C20</f>
        <v/>
      </c>
      <c r="D13" s="11">
        <f>'Debt Schedule'!D20</f>
        <v/>
      </c>
      <c r="E13" s="11">
        <f>'Debt Schedule'!E20</f>
        <v/>
      </c>
      <c r="F13" s="11">
        <f>'Debt Schedule'!F20</f>
        <v/>
      </c>
      <c r="G13" s="11">
        <f>'Debt Schedule'!G20</f>
        <v/>
      </c>
    </row>
    <row r="14">
      <c r="A14" s="12" t="inlineStr">
        <is>
          <t>Net change in cash</t>
        </is>
      </c>
      <c r="C14" s="18">
        <f>C10-C12-C13</f>
        <v/>
      </c>
      <c r="D14" s="18">
        <f>D10-D12-D13</f>
        <v/>
      </c>
      <c r="E14" s="18">
        <f>E10-E12-E13</f>
        <v/>
      </c>
      <c r="F14" s="18">
        <f>F10-F12-F13</f>
        <v/>
      </c>
      <c r="G14" s="18">
        <f>G10-G12-G13</f>
        <v/>
      </c>
    </row>
    <row r="16">
      <c r="A16" s="4" t="inlineStr">
        <is>
          <t>Beginning cash</t>
        </is>
      </c>
      <c r="C16" s="14">
        <f>0</f>
        <v/>
      </c>
      <c r="D16" s="14">
        <f>C17</f>
        <v/>
      </c>
      <c r="E16" s="14">
        <f>D17</f>
        <v/>
      </c>
      <c r="F16" s="14">
        <f>E17</f>
        <v/>
      </c>
      <c r="G16" s="14">
        <f>F17</f>
        <v/>
      </c>
    </row>
    <row r="17">
      <c r="A17" s="12" t="inlineStr">
        <is>
          <t>Ending cash</t>
        </is>
      </c>
      <c r="C17" s="18">
        <f>C16+C14</f>
        <v/>
      </c>
      <c r="D17" s="18">
        <f>D16+D14</f>
        <v/>
      </c>
      <c r="E17" s="18">
        <f>E16+E14</f>
        <v/>
      </c>
      <c r="F17" s="18">
        <f>F16+F14</f>
        <v/>
      </c>
      <c r="G17" s="18">
        <f>G16+G14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Balance Sheet</t>
        </is>
      </c>
    </row>
    <row r="2">
      <c r="A2" s="2" t="inlineStr">
        <is>
          <t>Goodwill is the purchase-accounting plug at close. The check row must be zero.</t>
        </is>
      </c>
    </row>
    <row r="4">
      <c r="B4" s="16" t="inlineStr">
        <is>
          <t>At close</t>
        </is>
      </c>
      <c r="C4" s="16" t="inlineStr">
        <is>
          <t>Year 1</t>
        </is>
      </c>
      <c r="D4" s="16" t="inlineStr">
        <is>
          <t>Year 2</t>
        </is>
      </c>
      <c r="E4" s="16" t="inlineStr">
        <is>
          <t>Year 3</t>
        </is>
      </c>
      <c r="F4" s="16" t="inlineStr">
        <is>
          <t>Year 4</t>
        </is>
      </c>
      <c r="G4" s="16" t="inlineStr">
        <is>
          <t>Year 5</t>
        </is>
      </c>
    </row>
    <row r="6">
      <c r="A6" s="4" t="inlineStr">
        <is>
          <t>Cash</t>
        </is>
      </c>
      <c r="B6" s="11">
        <f>Assumptions!$B$10</f>
        <v/>
      </c>
      <c r="C6" s="11">
        <f>'Cash Flow'!C17</f>
        <v/>
      </c>
      <c r="D6" s="11">
        <f>'Cash Flow'!D17</f>
        <v/>
      </c>
      <c r="E6" s="11">
        <f>'Cash Flow'!E17</f>
        <v/>
      </c>
      <c r="F6" s="11">
        <f>'Cash Flow'!F17</f>
        <v/>
      </c>
      <c r="G6" s="11">
        <f>'Cash Flow'!G17</f>
        <v/>
      </c>
    </row>
    <row r="7">
      <c r="A7" s="4" t="inlineStr">
        <is>
          <t>Non-cash working capital</t>
        </is>
      </c>
      <c r="B7" s="11">
        <f>Assumptions!$B$9</f>
        <v/>
      </c>
      <c r="C7" s="11">
        <f>B7+'Cash Flow'!C9</f>
        <v/>
      </c>
      <c r="D7" s="11">
        <f>C7+'Cash Flow'!D9</f>
        <v/>
      </c>
      <c r="E7" s="11">
        <f>D7+'Cash Flow'!E9</f>
        <v/>
      </c>
      <c r="F7" s="11">
        <f>E7+'Cash Flow'!F9</f>
        <v/>
      </c>
      <c r="G7" s="11">
        <f>F7+'Cash Flow'!G9</f>
        <v/>
      </c>
    </row>
    <row r="8">
      <c r="A8" s="4" t="inlineStr">
        <is>
          <t>PP&amp;E, net</t>
        </is>
      </c>
      <c r="B8" s="11">
        <f>Assumptions!$B$8</f>
        <v/>
      </c>
      <c r="C8" s="11">
        <f>B8+'Cash Flow'!C8-'Cash Flow'!C7</f>
        <v/>
      </c>
      <c r="D8" s="11">
        <f>C8+'Cash Flow'!D8-'Cash Flow'!D7</f>
        <v/>
      </c>
      <c r="E8" s="11">
        <f>D8+'Cash Flow'!E8-'Cash Flow'!E7</f>
        <v/>
      </c>
      <c r="F8" s="11">
        <f>E8+'Cash Flow'!F8-'Cash Flow'!F7</f>
        <v/>
      </c>
      <c r="G8" s="11">
        <f>F8+'Cash Flow'!G8-'Cash Flow'!G7</f>
        <v/>
      </c>
    </row>
    <row r="9">
      <c r="A9" s="4" t="inlineStr">
        <is>
          <t>Goodwill &amp; intangibles</t>
        </is>
      </c>
      <c r="B9" s="11">
        <f>'Sources &amp; Uses'!$B$8-B7-B8</f>
        <v/>
      </c>
      <c r="C9" s="14">
        <f>B9</f>
        <v/>
      </c>
      <c r="D9" s="14">
        <f>C9</f>
        <v/>
      </c>
      <c r="E9" s="14">
        <f>D9</f>
        <v/>
      </c>
      <c r="F9" s="14">
        <f>E9</f>
        <v/>
      </c>
      <c r="G9" s="14">
        <f>F9</f>
        <v/>
      </c>
    </row>
    <row r="10">
      <c r="A10" s="12" t="inlineStr">
        <is>
          <t>Total assets</t>
        </is>
      </c>
      <c r="B10" s="18">
        <f>SUM(B6:B9)</f>
        <v/>
      </c>
      <c r="C10" s="18">
        <f>SUM(C6:C9)</f>
        <v/>
      </c>
      <c r="D10" s="18">
        <f>SUM(D6:D9)</f>
        <v/>
      </c>
      <c r="E10" s="18">
        <f>SUM(E6:E9)</f>
        <v/>
      </c>
      <c r="F10" s="18">
        <f>SUM(F6:F9)</f>
        <v/>
      </c>
      <c r="G10" s="18">
        <f>SUM(G6:G9)</f>
        <v/>
      </c>
    </row>
    <row r="12">
      <c r="A12" s="3" t="inlineStr">
        <is>
          <t>Liabilities &amp; equity</t>
        </is>
      </c>
    </row>
    <row r="13">
      <c r="A13" s="4" t="inlineStr">
        <is>
          <t>Total debt</t>
        </is>
      </c>
      <c r="B13" s="11">
        <f>'Sources &amp; Uses'!$B$11</f>
        <v/>
      </c>
      <c r="C13" s="11">
        <f>'Debt Schedule'!C21</f>
        <v/>
      </c>
      <c r="D13" s="11">
        <f>'Debt Schedule'!D21</f>
        <v/>
      </c>
      <c r="E13" s="11">
        <f>'Debt Schedule'!E21</f>
        <v/>
      </c>
      <c r="F13" s="11">
        <f>'Debt Schedule'!F21</f>
        <v/>
      </c>
      <c r="G13" s="11">
        <f>'Debt Schedule'!G21</f>
        <v/>
      </c>
    </row>
    <row r="14">
      <c r="A14" s="4" t="inlineStr">
        <is>
          <t>Shareholders' equity</t>
        </is>
      </c>
      <c r="B14" s="11">
        <f>'Sources &amp; Uses'!$B$13+'Sources &amp; Uses'!$B$12</f>
        <v/>
      </c>
      <c r="C14" s="11">
        <f>B14+'Income Statement'!C14</f>
        <v/>
      </c>
      <c r="D14" s="11">
        <f>C14+'Income Statement'!D14</f>
        <v/>
      </c>
      <c r="E14" s="11">
        <f>D14+'Income Statement'!E14</f>
        <v/>
      </c>
      <c r="F14" s="11">
        <f>E14+'Income Statement'!F14</f>
        <v/>
      </c>
      <c r="G14" s="11">
        <f>F14+'Income Statement'!G14</f>
        <v/>
      </c>
    </row>
    <row r="15">
      <c r="A15" s="12" t="inlineStr">
        <is>
          <t>Total liabilities &amp; equity</t>
        </is>
      </c>
      <c r="B15" s="18">
        <f>B13+B14</f>
        <v/>
      </c>
      <c r="C15" s="18">
        <f>C13+C14</f>
        <v/>
      </c>
      <c r="D15" s="18">
        <f>D13+D14</f>
        <v/>
      </c>
      <c r="E15" s="18">
        <f>E13+E14</f>
        <v/>
      </c>
      <c r="F15" s="18">
        <f>F13+F14</f>
        <v/>
      </c>
      <c r="G15" s="18">
        <f>G13+G14</f>
        <v/>
      </c>
    </row>
    <row r="17">
      <c r="A17" s="12" t="inlineStr">
        <is>
          <t>Check: assets − (liabilities + equity)</t>
        </is>
      </c>
      <c r="B17" s="15">
        <f>B10-B15</f>
        <v/>
      </c>
      <c r="C17" s="15">
        <f>C10-C15</f>
        <v/>
      </c>
      <c r="D17" s="15">
        <f>D10-D15</f>
        <v/>
      </c>
      <c r="E17" s="15">
        <f>E10-E15</f>
        <v/>
      </c>
      <c r="F17" s="15">
        <f>F10-F15</f>
        <v/>
      </c>
      <c r="G17" s="15">
        <f>G10-G15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Exit &amp; Sponsor Returns</t>
        </is>
      </c>
    </row>
    <row r="2">
      <c r="A2" s="2" t="inlineStr">
        <is>
          <t>Exit multiple applies to final-year EBITDA. IRR is a CAGR — valid because the sponsor has exactly one cash flow in and one out.</t>
        </is>
      </c>
    </row>
    <row r="5">
      <c r="A5" s="4" t="inlineStr">
        <is>
          <t>Exit-year EBITDA</t>
        </is>
      </c>
      <c r="B5" s="11">
        <f>'Income Statement'!G7</f>
        <v/>
      </c>
    </row>
    <row r="6">
      <c r="A6" s="4" t="inlineStr">
        <is>
          <t>Exit EV / EBITDA</t>
        </is>
      </c>
      <c r="B6" s="21">
        <f>Assumptions!$B$13</f>
        <v/>
      </c>
    </row>
    <row r="7">
      <c r="A7" s="12" t="inlineStr">
        <is>
          <t>Exit enterprise value</t>
        </is>
      </c>
      <c r="B7" s="18">
        <f>B5*B6</f>
        <v/>
      </c>
    </row>
    <row r="8">
      <c r="A8" s="4" t="inlineStr">
        <is>
          <t>Less: debt outstanding</t>
        </is>
      </c>
      <c r="B8" s="11">
        <f>'Balance Sheet'!G13</f>
        <v/>
      </c>
    </row>
    <row r="9">
      <c r="A9" s="4" t="inlineStr">
        <is>
          <t>Add: cash balance</t>
        </is>
      </c>
      <c r="B9" s="11">
        <f>'Balance Sheet'!G6</f>
        <v/>
      </c>
    </row>
    <row r="10">
      <c r="A10" s="12" t="inlineStr">
        <is>
          <t>Exit equity value</t>
        </is>
      </c>
      <c r="B10" s="18">
        <f>B7-B8+B9</f>
        <v/>
      </c>
    </row>
    <row r="12">
      <c r="A12" s="4" t="inlineStr">
        <is>
          <t>Sponsor equity invested</t>
        </is>
      </c>
      <c r="B12" s="11">
        <f>'Sources &amp; Uses'!$B$13</f>
        <v/>
      </c>
    </row>
    <row r="13">
      <c r="A13" s="12" t="inlineStr">
        <is>
          <t>MOIC</t>
        </is>
      </c>
      <c r="B13" s="22">
        <f>B10/B12</f>
        <v/>
      </c>
    </row>
    <row r="14">
      <c r="A14" s="12" t="inlineStr">
        <is>
          <t>IRR</t>
        </is>
      </c>
      <c r="B14" s="23">
        <f>B13^(1/Assumptions!$B$15)-1</f>
        <v/>
      </c>
    </row>
    <row r="16">
      <c r="A16" s="3" t="inlineStr">
        <is>
          <t>Sensitivity — IRR (exit multiple × leverage)</t>
        </is>
      </c>
    </row>
    <row r="18">
      <c r="A18" s="24" t="inlineStr">
        <is>
          <t>Leverage ↓ / Exit →</t>
        </is>
      </c>
      <c r="B18" s="25" t="n">
        <v>6</v>
      </c>
      <c r="C18" s="25" t="n">
        <v>6.5</v>
      </c>
      <c r="D18" s="25" t="n">
        <v>7</v>
      </c>
      <c r="E18" s="25" t="n">
        <v>7.5</v>
      </c>
      <c r="F18" s="25" t="n">
        <v>8</v>
      </c>
    </row>
    <row r="19">
      <c r="A19" s="26" t="n">
        <v>3.5</v>
      </c>
      <c r="B19" s="9" t="n">
        <v>0.1510549080064836</v>
      </c>
      <c r="C19" s="9" t="n">
        <v>0.1732112384727498</v>
      </c>
      <c r="D19" s="9" t="n">
        <v>0.1938102144285716</v>
      </c>
      <c r="E19" s="9" t="n">
        <v>0.2130783884409797</v>
      </c>
      <c r="F19" s="9" t="n">
        <v>0.2311948533211396</v>
      </c>
    </row>
    <row r="20">
      <c r="A20" s="26" t="n">
        <v>4</v>
      </c>
      <c r="B20" s="9" t="n">
        <v>0.1642339677958338</v>
      </c>
      <c r="C20" s="9" t="n">
        <v>0.1894009111924295</v>
      </c>
      <c r="D20" s="9" t="n">
        <v>0.2126021349136804</v>
      </c>
      <c r="E20" s="9" t="n">
        <v>0.234152617427599</v>
      </c>
      <c r="F20" s="9" t="n">
        <v>0.2542951967208913</v>
      </c>
    </row>
    <row r="21">
      <c r="A21" s="26" t="n">
        <v>4.5</v>
      </c>
      <c r="B21" s="9" t="n">
        <v>0.1827401389458674</v>
      </c>
      <c r="C21" s="9" t="n">
        <v>0.2118945857487273</v>
      </c>
      <c r="D21" s="9" t="n">
        <v>0.2384867481881821</v>
      </c>
      <c r="E21" s="9" t="n">
        <v>0.2629735984067132</v>
      </c>
      <c r="F21" s="9" t="n">
        <v>0.2856966677443959</v>
      </c>
    </row>
    <row r="22">
      <c r="A22" s="26" t="n">
        <v>5</v>
      </c>
      <c r="B22" s="9" t="n">
        <v>0.2107332014660144</v>
      </c>
      <c r="C22" s="9" t="n">
        <v>0.2454507382229321</v>
      </c>
      <c r="D22" s="9" t="n">
        <v>0.2766800485734955</v>
      </c>
      <c r="E22" s="9" t="n">
        <v>0.3051225896013563</v>
      </c>
      <c r="F22" s="9" t="n">
        <v>0.3312822468732217</v>
      </c>
    </row>
    <row r="24">
      <c r="A24" s="2" t="inlineStr">
        <is>
          <t>Grid values come from re-running the Python engine, not from this workbook's formulas — hence blue. Excel Data Tables cannot be written by openpyxl.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Investment Memo</t>
        </is>
      </c>
    </row>
    <row r="2">
      <c r="A2" s="2" t="inlineStr">
        <is>
          <t>Written by the Claude agent from the model outputs.</t>
        </is>
      </c>
    </row>
    <row r="4">
      <c r="A4" s="27" t="inlineStr">
        <is>
          <t xml:space="preserve">INVESTMENT MEMO — Example Industrial Services Co. (illustrative sample)
Situation: A proposed take-private of a $180M-revenue industrial
services business at 7.0x LTM EBITDA
($32.4M), funded with 4.5x total
leverage across a senior term loan (70%, S+~ 8.5% all-in) and subordinated notes
(30%, 11.5%), plus a 10% management rollover to keep the existing operating team
aligned post-close. Free cash flow is swept 80% to debt
paydown, with the remainder retained as a cash cushion.
Why this clears a sponsor's screen: EBITDA margin has been stable-to-improving
(~16% -&gt; ~18% over the last three fiscal years) on high-single-digit revenue
growth, which comfortably supports the deliberately conservative 4%
forward growth assumption. At 4.5x leverage, Year 1
interest coverage (EBITDA / cash interest) comes in comfortably above 2.5x, so the
capital structure isn't the risk in this deal — execution on margin and
working-capital discipline is.
Base case returns: over a 5-year hold, exiting at the
same 7.0x entry multiple (no assumed multiple
expansion), the model produces 2.91x MOIC / 23.8%
IRR. Every point of return here comes from debt paydown and EBITDA growth, not from
paying a higher multiple on exit than on entry — which is the return profile a lender
and an IC will find most defensible.
Key sensitivities: returns hold up reasonably well down to a below-entry exit
multiple (6.0x-6.5x) as long as leverage stays at or below ~4.5x — see the Returns
tab sensitivity grid. Above 5.0x leverage, Year 1 free cash flow gets noticeably
tighter and the model starts flagging shortfall risk in a downside growth case
(not shown here — recommend running a -3% growth downside before an IC memo).
What I'd want to verify before this goes further: (1) the quality/recurrence of
the EBITDA add-backs behind the reported margin improvement, (2) customer
concentration, since industrial services businesses this size often have 1-2
customers driving a large share of revenue, and (3) maintenance vs. growth capex
split, since the 3%-of-revenue capex assumption is a placeholder, not derived
from the company's actual capex history.
— Generated by PaperLBO's Claude-orchestrated reasoning step from the
  Sources &amp; Uses, Operating Model, and Returns tabs in this workbook. The
  financial math itself (all figures cited above) comes from lbo_engine.py,
  a deterministic Python calculation engine — not from the LLM.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2026-08-29T22:49:17Z</dcterms:created>
  <dcterms:modified xsi:type="dcterms:W3CDTF">2026-08-29T22:49:17Z</dcterms:modified>
</cp:coreProperties>
</file>